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bookViews>
    <workbookView xWindow="0" yWindow="0" windowWidth="24000" windowHeight="9885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5" l="1"/>
  <c r="D13" i="5"/>
  <c r="C13" i="5"/>
  <c r="G6" i="5"/>
  <c r="G13" i="5" s="1"/>
  <c r="M10" i="4"/>
  <c r="L10" i="4"/>
  <c r="M9" i="4"/>
  <c r="L9" i="4"/>
  <c r="M8" i="4"/>
  <c r="L8" i="4"/>
  <c r="M7" i="4"/>
  <c r="L7" i="4"/>
  <c r="M6" i="4"/>
  <c r="L6" i="4"/>
  <c r="M5" i="4"/>
  <c r="L5" i="4"/>
  <c r="M4" i="4"/>
  <c r="L4" i="4"/>
  <c r="L3" i="4"/>
  <c r="M3" i="4" s="1"/>
  <c r="C8" i="3"/>
  <c r="C7" i="3"/>
  <c r="C6" i="3"/>
  <c r="C5" i="3"/>
  <c r="C4" i="3"/>
  <c r="C8" i="2"/>
  <c r="C7" i="2"/>
  <c r="C6" i="2"/>
  <c r="C5" i="2"/>
  <c r="C4" i="2"/>
  <c r="C8" i="1"/>
  <c r="C7" i="1"/>
  <c r="C6" i="1"/>
  <c r="C5" i="1"/>
  <c r="C4" i="1"/>
</calcChain>
</file>

<file path=xl/sharedStrings.xml><?xml version="1.0" encoding="utf-8"?>
<sst xmlns="http://schemas.openxmlformats.org/spreadsheetml/2006/main" count="139" uniqueCount="49">
  <si>
    <t>FIND</t>
  </si>
  <si>
    <t xml:space="preserve">NAME </t>
  </si>
  <si>
    <t>POSITION</t>
  </si>
  <si>
    <t>RIDDHI</t>
  </si>
  <si>
    <t xml:space="preserve">the FIND function in excel is used to return the position of the specific character or </t>
  </si>
  <si>
    <t>JAY</t>
  </si>
  <si>
    <t>JANKI</t>
  </si>
  <si>
    <t>DIYA</t>
  </si>
  <si>
    <t>JIGAR</t>
  </si>
  <si>
    <t>SEARCH</t>
  </si>
  <si>
    <t xml:space="preserve">POSITION </t>
  </si>
  <si>
    <t>The microsoft excel SEARCH function returns the location of a substring the search is NOT case-sensitie.</t>
  </si>
  <si>
    <t>RIYA</t>
  </si>
  <si>
    <t xml:space="preserve">KRISHNA </t>
  </si>
  <si>
    <t xml:space="preserve">DEV </t>
  </si>
  <si>
    <t>MID</t>
  </si>
  <si>
    <t>NAME</t>
  </si>
  <si>
    <t>NIRALI</t>
  </si>
  <si>
    <t>MID returns a specific number of character from a text string, starting at start_num and continuing throgh start _num charts</t>
  </si>
  <si>
    <t>AISHU</t>
  </si>
  <si>
    <t>PRUTHA</t>
  </si>
  <si>
    <t xml:space="preserve">SWATI </t>
  </si>
  <si>
    <t>ATTENDANCE SHEET</t>
  </si>
  <si>
    <t>TOTAL PRES</t>
  </si>
  <si>
    <t>TOTAL ABST</t>
  </si>
  <si>
    <t>P</t>
  </si>
  <si>
    <t>A</t>
  </si>
  <si>
    <t>JIYA</t>
  </si>
  <si>
    <t>KAVYA</t>
  </si>
  <si>
    <t xml:space="preserve">KRISHA </t>
  </si>
  <si>
    <t>ISHA</t>
  </si>
  <si>
    <t>BALANCE SHEET</t>
  </si>
  <si>
    <t>LIABILITIES</t>
  </si>
  <si>
    <t>as at 1-4-2021</t>
  </si>
  <si>
    <t>ASSETS</t>
  </si>
  <si>
    <t>CAPITAL ACCOUNT:</t>
  </si>
  <si>
    <t>FIXED ASSETS:</t>
  </si>
  <si>
    <t>capital a/c</t>
  </si>
  <si>
    <t>furniture a/c</t>
  </si>
  <si>
    <t>LOANS (LAIB)</t>
  </si>
  <si>
    <t>CURRENT ASSETS:</t>
  </si>
  <si>
    <t>CURRENT LIANBILITIES:</t>
  </si>
  <si>
    <t>closing stock</t>
  </si>
  <si>
    <t>sundry creditors</t>
  </si>
  <si>
    <t xml:space="preserve">sundry debtors </t>
  </si>
  <si>
    <t>cash in hand</t>
  </si>
  <si>
    <t>P&amp;L A/C:</t>
  </si>
  <si>
    <t xml:space="preserve">current period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</si>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</sst>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0" fillId="3" borderId="0" xfId="0" applyFill="1"/>
    <xf numFmtId="0" fontId="3" fillId="4" borderId="0" xfId="0" applyFont="1" applyFill="1"/>
    <xf numFmtId="0" fontId="0" fillId="5" borderId="0" xfId="0" applyFill="1"/>
    <xf numFmtId="0" fontId="0" fillId="0" borderId="0" xfId="0" applyAlignment="1">
      <alignment horizontal="center" wrapText="1"/>
    </xf>
    <xf numFmtId="0" fontId="4" fillId="6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wrapText="1"/>
    </xf>
    <xf numFmtId="0" fontId="1" fillId="7" borderId="0" xfId="0" applyFont="1" applyFill="1"/>
    <xf numFmtId="0" fontId="0" fillId="8" borderId="0" xfId="0" applyFill="1"/>
    <xf numFmtId="0" fontId="5" fillId="0" borderId="0" xfId="0" applyFont="1" applyAlignment="1">
      <alignment horizontal="center" wrapText="1"/>
    </xf>
    <xf numFmtId="0" fontId="0" fillId="9" borderId="0" xfId="0" applyFill="1" applyAlignment="1">
      <alignment horizontal="center" wrapText="1"/>
    </xf>
    <xf numFmtId="0" fontId="0" fillId="10" borderId="0" xfId="0" applyFill="1"/>
    <xf numFmtId="14" fontId="0" fillId="10" borderId="0" xfId="0" applyNumberFormat="1" applyFill="1"/>
    <xf numFmtId="0" fontId="0" fillId="11" borderId="0" xfId="0" applyFill="1"/>
    <xf numFmtId="0" fontId="6" fillId="12" borderId="0" xfId="0" applyFont="1" applyFill="1" applyBorder="1" applyAlignment="1">
      <alignment horizontal="center" wrapText="1"/>
    </xf>
    <xf numFmtId="0" fontId="3" fillId="12" borderId="0" xfId="0" applyFont="1" applyFill="1" applyBorder="1" applyAlignment="1">
      <alignment horizontal="center" wrapText="1"/>
    </xf>
    <xf numFmtId="0" fontId="0" fillId="3" borderId="0" xfId="0" applyFill="1" applyBorder="1"/>
    <xf numFmtId="0" fontId="0" fillId="3" borderId="0" xfId="0" applyFill="1" applyBorder="1" applyAlignment="1">
      <alignment horizontal="center"/>
    </xf>
    <xf numFmtId="0" fontId="0" fillId="3" borderId="0" xfId="0" applyFill="1" applyBorder="1" applyAlignment="1">
      <alignment horizontal="center" wrapText="1"/>
    </xf>
    <xf numFmtId="0" fontId="0" fillId="13" borderId="0" xfId="0" applyFill="1" applyBorder="1"/>
    <xf numFmtId="0" fontId="0" fillId="14" borderId="0" xfId="0" applyFill="1" applyBorder="1"/>
    <xf numFmtId="0" fontId="0" fillId="14" borderId="1" xfId="0" applyFill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8"/>
  <sheetViews>
    <sheetView workbookViewId="0">
      <selection activeCell="G14" sqref="G14"/>
    </sheetView>
  </sheetViews>
  <sheetFormatPr defaultRowHeight="15" x14ac:dyDescent="0.25"/>
  <sheetData>
    <row r="1" spans="2:11" x14ac:dyDescent="0.25">
      <c r="B1" s="1" t="s">
        <v>0</v>
      </c>
      <c r="C1" s="2"/>
    </row>
    <row r="2" spans="2:11" x14ac:dyDescent="0.25">
      <c r="B2" s="2"/>
      <c r="C2" s="2"/>
    </row>
    <row r="3" spans="2:11" x14ac:dyDescent="0.25">
      <c r="B3" s="3" t="s">
        <v>1</v>
      </c>
      <c r="C3" s="3" t="s">
        <v>2</v>
      </c>
    </row>
    <row r="4" spans="2:11" x14ac:dyDescent="0.25">
      <c r="B4" s="4" t="s">
        <v>3</v>
      </c>
      <c r="C4" s="5">
        <f>FIND("D",B4,1)</f>
        <v>3</v>
      </c>
      <c r="E4" s="6" t="s">
        <v>4</v>
      </c>
      <c r="F4" s="6"/>
      <c r="G4" s="6"/>
      <c r="H4" s="6"/>
      <c r="I4" s="6"/>
      <c r="J4" s="6"/>
      <c r="K4" s="6"/>
    </row>
    <row r="5" spans="2:11" x14ac:dyDescent="0.25">
      <c r="B5" s="4" t="s">
        <v>5</v>
      </c>
      <c r="C5" s="5">
        <f>FIND("A",B5,1)</f>
        <v>2</v>
      </c>
      <c r="E5" s="6"/>
      <c r="F5" s="6"/>
      <c r="G5" s="6"/>
      <c r="H5" s="6"/>
      <c r="I5" s="6"/>
      <c r="J5" s="6"/>
      <c r="K5" s="6"/>
    </row>
    <row r="6" spans="2:11" x14ac:dyDescent="0.25">
      <c r="B6" s="4" t="s">
        <v>6</v>
      </c>
      <c r="C6" s="5">
        <f>FIND("K",B6,1)</f>
        <v>4</v>
      </c>
    </row>
    <row r="7" spans="2:11" x14ac:dyDescent="0.25">
      <c r="B7" s="4" t="s">
        <v>7</v>
      </c>
      <c r="C7" s="5">
        <f t="shared" ref="C7" si="0">FIND("D",B7,1)</f>
        <v>1</v>
      </c>
    </row>
    <row r="8" spans="2:11" x14ac:dyDescent="0.25">
      <c r="B8" s="4" t="s">
        <v>8</v>
      </c>
      <c r="C8" s="5">
        <f>FIND("R",B8,1)</f>
        <v>5</v>
      </c>
    </row>
  </sheetData>
  <mergeCells count="2">
    <mergeCell ref="B1:C2"/>
    <mergeCell ref="E4:K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8"/>
  <sheetViews>
    <sheetView workbookViewId="0">
      <selection sqref="A1:K11"/>
    </sheetView>
  </sheetViews>
  <sheetFormatPr defaultRowHeight="15" x14ac:dyDescent="0.25"/>
  <sheetData>
    <row r="1" spans="2:11" x14ac:dyDescent="0.25">
      <c r="B1" s="7" t="s">
        <v>9</v>
      </c>
      <c r="C1" s="8"/>
    </row>
    <row r="2" spans="2:11" x14ac:dyDescent="0.25">
      <c r="B2" s="8"/>
      <c r="C2" s="8"/>
    </row>
    <row r="3" spans="2:11" x14ac:dyDescent="0.25">
      <c r="B3" s="9" t="s">
        <v>1</v>
      </c>
      <c r="C3" s="9" t="s">
        <v>10</v>
      </c>
      <c r="E3" s="6" t="s">
        <v>11</v>
      </c>
      <c r="F3" s="6"/>
      <c r="G3" s="6"/>
      <c r="H3" s="6"/>
      <c r="I3" s="6"/>
      <c r="J3" s="6"/>
      <c r="K3" s="6"/>
    </row>
    <row r="4" spans="2:11" x14ac:dyDescent="0.25">
      <c r="B4" s="10" t="s">
        <v>3</v>
      </c>
      <c r="C4" s="10">
        <f>SEARCH("H",B4,1)</f>
        <v>5</v>
      </c>
      <c r="E4" s="6"/>
      <c r="F4" s="6"/>
      <c r="G4" s="6"/>
      <c r="H4" s="6"/>
      <c r="I4" s="6"/>
      <c r="J4" s="6"/>
      <c r="K4" s="6"/>
    </row>
    <row r="5" spans="2:11" x14ac:dyDescent="0.25">
      <c r="B5" s="10" t="s">
        <v>12</v>
      </c>
      <c r="C5" s="10">
        <f>SEARCH("Y",B5,1)</f>
        <v>3</v>
      </c>
    </row>
    <row r="6" spans="2:11" x14ac:dyDescent="0.25">
      <c r="B6" s="10" t="s">
        <v>7</v>
      </c>
      <c r="C6" s="10">
        <f>SEARCH("A",B6,1)</f>
        <v>4</v>
      </c>
    </row>
    <row r="7" spans="2:11" x14ac:dyDescent="0.25">
      <c r="B7" s="10" t="s">
        <v>13</v>
      </c>
      <c r="C7" s="10">
        <f>SEARCH("N",B7,1)</f>
        <v>6</v>
      </c>
    </row>
    <row r="8" spans="2:11" x14ac:dyDescent="0.25">
      <c r="B8" s="10" t="s">
        <v>14</v>
      </c>
      <c r="C8" s="10">
        <f>SEARCH("V",B8,1)</f>
        <v>3</v>
      </c>
    </row>
  </sheetData>
  <mergeCells count="2">
    <mergeCell ref="B1:C2"/>
    <mergeCell ref="E3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8"/>
  <sheetViews>
    <sheetView workbookViewId="0">
      <selection activeCell="F17" sqref="F17"/>
    </sheetView>
  </sheetViews>
  <sheetFormatPr defaultRowHeight="15" x14ac:dyDescent="0.25"/>
  <sheetData>
    <row r="1" spans="2:12" x14ac:dyDescent="0.25">
      <c r="B1" s="11" t="s">
        <v>15</v>
      </c>
      <c r="C1" s="6"/>
    </row>
    <row r="2" spans="2:12" x14ac:dyDescent="0.25">
      <c r="B2" s="6"/>
      <c r="C2" s="6"/>
    </row>
    <row r="3" spans="2:12" x14ac:dyDescent="0.25">
      <c r="B3" t="s">
        <v>16</v>
      </c>
      <c r="C3" t="s">
        <v>2</v>
      </c>
    </row>
    <row r="4" spans="2:12" x14ac:dyDescent="0.25">
      <c r="B4" t="s">
        <v>3</v>
      </c>
      <c r="C4" t="str">
        <f>MID(B4,1,3)</f>
        <v>RID</v>
      </c>
    </row>
    <row r="5" spans="2:12" x14ac:dyDescent="0.25">
      <c r="B5" t="s">
        <v>17</v>
      </c>
      <c r="C5" t="str">
        <f>MID(B5,1,5)</f>
        <v>NIRAL</v>
      </c>
      <c r="E5" s="6" t="s">
        <v>18</v>
      </c>
      <c r="F5" s="6"/>
      <c r="G5" s="6"/>
      <c r="H5" s="6"/>
      <c r="I5" s="6"/>
      <c r="J5" s="6"/>
      <c r="K5" s="6"/>
      <c r="L5" s="6"/>
    </row>
    <row r="6" spans="2:12" x14ac:dyDescent="0.25">
      <c r="B6" t="s">
        <v>19</v>
      </c>
      <c r="C6" t="str">
        <f>MID(B6,1,2)</f>
        <v>AI</v>
      </c>
      <c r="E6" s="6"/>
      <c r="F6" s="6"/>
      <c r="G6" s="6"/>
      <c r="H6" s="6"/>
      <c r="I6" s="6"/>
      <c r="J6" s="6"/>
      <c r="K6" s="6"/>
      <c r="L6" s="6"/>
    </row>
    <row r="7" spans="2:12" x14ac:dyDescent="0.25">
      <c r="B7" t="s">
        <v>20</v>
      </c>
      <c r="C7" t="str">
        <f>MID(B7,1,5)</f>
        <v>PRUTH</v>
      </c>
    </row>
    <row r="8" spans="2:12" x14ac:dyDescent="0.25">
      <c r="B8" t="s">
        <v>21</v>
      </c>
      <c r="C8" t="str">
        <f>MID(B8,1,4)</f>
        <v>SWAT</v>
      </c>
    </row>
  </sheetData>
  <mergeCells count="2">
    <mergeCell ref="B1:C2"/>
    <mergeCell ref="E5:L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sqref="A1:M10"/>
    </sheetView>
  </sheetViews>
  <sheetFormatPr defaultRowHeight="15" x14ac:dyDescent="0.25"/>
  <sheetData>
    <row r="1" spans="1:13" x14ac:dyDescent="0.25">
      <c r="A1" s="12" t="s">
        <v>22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x14ac:dyDescent="0.25">
      <c r="A2" s="13" t="s">
        <v>16</v>
      </c>
      <c r="B2" s="14">
        <v>40492</v>
      </c>
      <c r="C2" s="14">
        <v>40493</v>
      </c>
      <c r="D2" s="14">
        <v>40494</v>
      </c>
      <c r="E2" s="14">
        <v>40495</v>
      </c>
      <c r="F2" s="14">
        <v>40496</v>
      </c>
      <c r="G2" s="14">
        <v>40497</v>
      </c>
      <c r="H2" s="14">
        <v>40498</v>
      </c>
      <c r="I2" s="14">
        <v>40499</v>
      </c>
      <c r="J2" s="14">
        <v>40500</v>
      </c>
      <c r="K2" s="14">
        <v>40501</v>
      </c>
      <c r="L2" s="13" t="s">
        <v>23</v>
      </c>
      <c r="M2" s="13" t="s">
        <v>24</v>
      </c>
    </row>
    <row r="3" spans="1:13" x14ac:dyDescent="0.25">
      <c r="A3" s="15" t="s">
        <v>3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25</v>
      </c>
      <c r="L3" s="15">
        <f t="shared" ref="L3:L10" si="0">COUNTIF(B3:K3,"P")</f>
        <v>10</v>
      </c>
      <c r="M3" s="15">
        <f>COUNTIF(B3:L3,"A")</f>
        <v>0</v>
      </c>
    </row>
    <row r="4" spans="1:13" x14ac:dyDescent="0.25">
      <c r="A4" s="15" t="s">
        <v>5</v>
      </c>
      <c r="B4" t="s">
        <v>26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26</v>
      </c>
      <c r="J4" t="s">
        <v>25</v>
      </c>
      <c r="K4" t="s">
        <v>25</v>
      </c>
      <c r="L4" s="15">
        <f t="shared" si="0"/>
        <v>8</v>
      </c>
      <c r="M4" s="15">
        <f t="shared" ref="M4:M10" si="1">COUNTIF(B4:K4,"A")</f>
        <v>2</v>
      </c>
    </row>
    <row r="5" spans="1:13" x14ac:dyDescent="0.25">
      <c r="A5" s="15" t="s">
        <v>6</v>
      </c>
      <c r="B5" t="s">
        <v>25</v>
      </c>
      <c r="C5" t="s">
        <v>25</v>
      </c>
      <c r="D5" t="s">
        <v>25</v>
      </c>
      <c r="E5" t="s">
        <v>25</v>
      </c>
      <c r="F5" t="s">
        <v>26</v>
      </c>
      <c r="G5" t="s">
        <v>26</v>
      </c>
      <c r="H5" t="s">
        <v>26</v>
      </c>
      <c r="I5" t="s">
        <v>25</v>
      </c>
      <c r="J5" t="s">
        <v>25</v>
      </c>
      <c r="K5" t="s">
        <v>25</v>
      </c>
      <c r="L5" s="15">
        <f t="shared" si="0"/>
        <v>7</v>
      </c>
      <c r="M5" s="15">
        <f t="shared" si="1"/>
        <v>3</v>
      </c>
    </row>
    <row r="6" spans="1:13" x14ac:dyDescent="0.25">
      <c r="A6" s="15" t="s">
        <v>27</v>
      </c>
      <c r="B6" t="s">
        <v>25</v>
      </c>
      <c r="C6" t="s">
        <v>26</v>
      </c>
      <c r="D6" t="s">
        <v>26</v>
      </c>
      <c r="E6" t="s">
        <v>25</v>
      </c>
      <c r="F6" t="s">
        <v>25</v>
      </c>
      <c r="G6" t="s">
        <v>26</v>
      </c>
      <c r="H6" t="s">
        <v>25</v>
      </c>
      <c r="I6" t="s">
        <v>25</v>
      </c>
      <c r="J6" t="s">
        <v>25</v>
      </c>
      <c r="K6" t="s">
        <v>26</v>
      </c>
      <c r="L6" s="15">
        <f t="shared" si="0"/>
        <v>6</v>
      </c>
      <c r="M6" s="15">
        <f t="shared" si="1"/>
        <v>4</v>
      </c>
    </row>
    <row r="7" spans="1:13" x14ac:dyDescent="0.25">
      <c r="A7" s="15" t="s">
        <v>7</v>
      </c>
      <c r="B7" t="s">
        <v>25</v>
      </c>
      <c r="C7" t="s">
        <v>25</v>
      </c>
      <c r="D7" t="s">
        <v>26</v>
      </c>
      <c r="E7" t="s">
        <v>26</v>
      </c>
      <c r="F7" t="s">
        <v>25</v>
      </c>
      <c r="G7" t="s">
        <v>26</v>
      </c>
      <c r="H7" t="s">
        <v>25</v>
      </c>
      <c r="I7" t="s">
        <v>25</v>
      </c>
      <c r="J7" t="s">
        <v>26</v>
      </c>
      <c r="K7" t="s">
        <v>25</v>
      </c>
      <c r="L7" s="15">
        <f t="shared" si="0"/>
        <v>6</v>
      </c>
      <c r="M7" s="15">
        <f t="shared" si="1"/>
        <v>4</v>
      </c>
    </row>
    <row r="8" spans="1:13" x14ac:dyDescent="0.25">
      <c r="A8" s="15" t="s">
        <v>28</v>
      </c>
      <c r="B8" t="s">
        <v>26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26</v>
      </c>
      <c r="I8" t="s">
        <v>25</v>
      </c>
      <c r="J8" t="s">
        <v>26</v>
      </c>
      <c r="K8" t="s">
        <v>26</v>
      </c>
      <c r="L8" s="15">
        <f t="shared" si="0"/>
        <v>6</v>
      </c>
      <c r="M8" s="15">
        <f t="shared" si="1"/>
        <v>4</v>
      </c>
    </row>
    <row r="9" spans="1:13" x14ac:dyDescent="0.25">
      <c r="A9" s="15" t="s">
        <v>29</v>
      </c>
      <c r="B9" t="s">
        <v>26</v>
      </c>
      <c r="C9" t="s">
        <v>25</v>
      </c>
      <c r="D9" t="s">
        <v>26</v>
      </c>
      <c r="E9" t="s">
        <v>25</v>
      </c>
      <c r="F9" t="s">
        <v>26</v>
      </c>
      <c r="G9" t="s">
        <v>25</v>
      </c>
      <c r="H9" t="s">
        <v>25</v>
      </c>
      <c r="I9" t="s">
        <v>26</v>
      </c>
      <c r="J9" t="s">
        <v>25</v>
      </c>
      <c r="K9" t="s">
        <v>25</v>
      </c>
      <c r="L9" s="15">
        <f t="shared" si="0"/>
        <v>6</v>
      </c>
      <c r="M9" s="15">
        <f t="shared" si="1"/>
        <v>4</v>
      </c>
    </row>
    <row r="10" spans="1:13" x14ac:dyDescent="0.25">
      <c r="A10" s="15" t="s">
        <v>30</v>
      </c>
      <c r="B10" t="s">
        <v>25</v>
      </c>
      <c r="C10" t="s">
        <v>26</v>
      </c>
      <c r="D10" t="s">
        <v>25</v>
      </c>
      <c r="E10" t="s">
        <v>26</v>
      </c>
      <c r="F10" t="s">
        <v>25</v>
      </c>
      <c r="G10" t="s">
        <v>25</v>
      </c>
      <c r="H10" t="s">
        <v>25</v>
      </c>
      <c r="I10" t="s">
        <v>25</v>
      </c>
      <c r="J10" t="s">
        <v>26</v>
      </c>
      <c r="K10" t="s">
        <v>25</v>
      </c>
      <c r="L10" s="15">
        <f t="shared" si="0"/>
        <v>7</v>
      </c>
      <c r="M10" s="15">
        <f t="shared" si="1"/>
        <v>3</v>
      </c>
    </row>
  </sheetData>
  <mergeCells count="1">
    <mergeCell ref="A1:M1"/>
  </mergeCells>
  <conditionalFormatting sqref="B3:K10">
    <cfRule type="containsText" dxfId="3" priority="1" operator="containsText" text="A">
      <formula>NOT(ISERROR(SEARCH("A",B3)))</formula>
    </cfRule>
    <cfRule type="containsText" dxfId="2" priority="2" operator="containsText" text="A">
      <formula>NOT(ISERROR(SEARCH("A",B3)))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3"/>
  <sheetViews>
    <sheetView tabSelected="1" workbookViewId="0">
      <selection activeCell="J27" sqref="J27"/>
    </sheetView>
  </sheetViews>
  <sheetFormatPr defaultRowHeight="15" x14ac:dyDescent="0.25"/>
  <sheetData>
    <row r="1" spans="2:7" x14ac:dyDescent="0.25">
      <c r="B1" s="16" t="s">
        <v>31</v>
      </c>
      <c r="C1" s="17"/>
      <c r="D1" s="17"/>
      <c r="E1" s="17"/>
      <c r="F1" s="17"/>
      <c r="G1" s="17"/>
    </row>
    <row r="2" spans="2:7" x14ac:dyDescent="0.25">
      <c r="B2" s="17"/>
      <c r="C2" s="17"/>
      <c r="D2" s="17"/>
      <c r="E2" s="17"/>
      <c r="F2" s="17"/>
      <c r="G2" s="17"/>
    </row>
    <row r="3" spans="2:7" x14ac:dyDescent="0.25">
      <c r="B3" s="18" t="s">
        <v>32</v>
      </c>
      <c r="C3" s="19" t="s">
        <v>33</v>
      </c>
      <c r="D3" s="19"/>
      <c r="E3" s="18" t="s">
        <v>34</v>
      </c>
      <c r="F3" s="20" t="s">
        <v>33</v>
      </c>
      <c r="G3" s="20"/>
    </row>
    <row r="4" spans="2:7" x14ac:dyDescent="0.25">
      <c r="B4" s="21" t="s">
        <v>35</v>
      </c>
      <c r="C4" s="22"/>
      <c r="D4" s="23">
        <v>40000</v>
      </c>
      <c r="E4" s="21" t="s">
        <v>36</v>
      </c>
      <c r="F4" s="22"/>
      <c r="G4" s="23">
        <v>53000</v>
      </c>
    </row>
    <row r="5" spans="2:7" x14ac:dyDescent="0.25">
      <c r="B5" s="21" t="s">
        <v>37</v>
      </c>
      <c r="C5" s="23">
        <v>40000</v>
      </c>
      <c r="D5" s="22"/>
      <c r="E5" s="21" t="s">
        <v>38</v>
      </c>
      <c r="F5" s="23">
        <v>53000</v>
      </c>
      <c r="G5" s="22"/>
    </row>
    <row r="6" spans="2:7" x14ac:dyDescent="0.25">
      <c r="B6" s="21" t="s">
        <v>39</v>
      </c>
      <c r="C6" s="22"/>
      <c r="D6" s="22"/>
      <c r="E6" s="21" t="s">
        <v>40</v>
      </c>
      <c r="F6" s="22"/>
      <c r="G6" s="23">
        <f>SUM(F7:F9)</f>
        <v>680200</v>
      </c>
    </row>
    <row r="7" spans="2:7" x14ac:dyDescent="0.25">
      <c r="B7" s="21" t="s">
        <v>41</v>
      </c>
      <c r="C7" s="22"/>
      <c r="D7" s="23">
        <v>58200</v>
      </c>
      <c r="E7" s="21" t="s">
        <v>42</v>
      </c>
      <c r="F7" s="22">
        <v>53000</v>
      </c>
      <c r="G7" s="22"/>
    </row>
    <row r="8" spans="2:7" x14ac:dyDescent="0.25">
      <c r="B8" s="21" t="s">
        <v>43</v>
      </c>
      <c r="C8" s="23">
        <v>58200</v>
      </c>
      <c r="D8" s="22"/>
      <c r="E8" s="21" t="s">
        <v>44</v>
      </c>
      <c r="F8" s="22">
        <v>582200</v>
      </c>
      <c r="G8" s="22"/>
    </row>
    <row r="9" spans="2:7" x14ac:dyDescent="0.25">
      <c r="B9" s="21"/>
      <c r="C9" s="22"/>
      <c r="D9" s="22"/>
      <c r="E9" s="21" t="s">
        <v>45</v>
      </c>
      <c r="F9" s="23">
        <v>45000</v>
      </c>
      <c r="G9" s="22"/>
    </row>
    <row r="10" spans="2:7" x14ac:dyDescent="0.25">
      <c r="B10" s="21"/>
      <c r="C10" s="22"/>
      <c r="D10" s="22"/>
      <c r="E10" s="21" t="s">
        <v>46</v>
      </c>
      <c r="F10" s="22"/>
      <c r="G10" s="23">
        <v>45300</v>
      </c>
    </row>
    <row r="11" spans="2:7" x14ac:dyDescent="0.25">
      <c r="B11" s="21"/>
      <c r="C11" s="22"/>
      <c r="D11" s="22"/>
      <c r="E11" s="21" t="s">
        <v>47</v>
      </c>
      <c r="F11" s="23">
        <v>45300</v>
      </c>
      <c r="G11" s="22"/>
    </row>
    <row r="12" spans="2:7" x14ac:dyDescent="0.25">
      <c r="B12" s="21"/>
      <c r="C12" s="22"/>
      <c r="D12" s="22"/>
      <c r="E12" s="21"/>
      <c r="F12" s="22"/>
      <c r="G12" s="22"/>
    </row>
    <row r="13" spans="2:7" x14ac:dyDescent="0.25">
      <c r="B13" s="18" t="s">
        <v>48</v>
      </c>
      <c r="C13" s="18">
        <f>SUM(C5:C8)</f>
        <v>98200</v>
      </c>
      <c r="D13" s="18">
        <f>SUM(D4:D7)</f>
        <v>98200</v>
      </c>
      <c r="E13" s="18" t="s">
        <v>48</v>
      </c>
      <c r="F13" s="18">
        <f>SUM(F5:F11)</f>
        <v>778500</v>
      </c>
      <c r="G13" s="18">
        <f>SUM(G4:G6)</f>
        <v>733200</v>
      </c>
    </row>
  </sheetData>
  <mergeCells count="3">
    <mergeCell ref="B1:G2"/>
    <mergeCell ref="C3:D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2021-09-07T05:05:40Z</dcterms:created>
  <dcterms:modified xsi:type="dcterms:W3CDTF">2021-09-07T05:08:13Z</dcterms:modified>
</cp:coreProperties>
</file>